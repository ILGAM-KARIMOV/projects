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extLst>
    <ext uri="GoogleSheetsCustomDataVersion2">
      <go:sheetsCustomData xmlns:go="http://customooxmlschemas.google.com/" r:id="rId5" roundtripDataChecksum="x90xDhNhyiCDLjAn1lxrd99xIEl6tSrjgherWhJyamc="/>
    </ext>
  </extLst>
</workbook>
</file>

<file path=xl/sharedStrings.xml><?xml version="1.0" encoding="utf-8"?>
<sst xmlns="http://schemas.openxmlformats.org/spreadsheetml/2006/main" count="120" uniqueCount="111">
  <si>
    <t>№</t>
  </si>
  <si>
    <t>Описание сценария</t>
  </si>
  <si>
    <t>Ожидаемый результат</t>
  </si>
  <si>
    <t>Оценка трудозатрат</t>
  </si>
  <si>
    <t>План (мин.)</t>
  </si>
  <si>
    <t>Факт (мин.)</t>
  </si>
  <si>
    <r>
      <rPr>
        <rFont val="Arial"/>
        <b/>
        <color theme="1"/>
      </rPr>
      <t>Примечание</t>
    </r>
    <r>
      <rPr>
        <rFont val="Arial"/>
        <color theme="1"/>
      </rPr>
      <t xml:space="preserve">: столбец «Факт (мин.)» надо будет заполнить чуть позже, при непосредственном выполнении регресса в </t>
    </r>
    <r>
      <rPr>
        <rFont val="Arial"/>
        <color theme="1"/>
        <u/>
      </rPr>
      <t>задании 1.9</t>
    </r>
    <r>
      <rPr>
        <rFont val="Arial"/>
        <color theme="1"/>
      </rPr>
      <t xml:space="preserve">. </t>
    </r>
  </si>
  <si>
    <t>Сценарий "Поиск существующего товара по полному названию"
1. Установить курсор в строку поиска
2 Ввести в строку поиска "LED телевизор XIAOMI Mi TV 4S 43 Ultra HD 4K"</t>
  </si>
  <si>
    <t>Открылась карточка товара "LED телевизор XIAOMI Mi TV 4S 43 Ultra HD 4K"</t>
  </si>
  <si>
    <t>Сценарий "Поиск существующего товара по части названия"
1. Установить курсор в строку поиска
2. Ввести в строку поиска "XIAOMI"</t>
  </si>
  <si>
    <t>Откроется страница результатов поиска с товарами, вклющающими слово "XIAOMI" - 5 шт.</t>
  </si>
  <si>
    <t>Сценарий "Поиск несуществующего товара по полному названию"
1. Установить курсор в строку поиска
2. Ввести в строку поиска "Холодильник с морозильником Indesit ITD 4160 W"</t>
  </si>
  <si>
    <t>Откроется страница результатов поиска с товарами, вклющающими слово "Холодильник с морозильником Indesit ITD 4160 W" с сообщением "Товаров, соответствующих вашему запросу, не найдено"</t>
  </si>
  <si>
    <t>Сценарий "Поиск несуществующего товара по части названия"
1. Установить курсор в строку поиска
2 Ввести в строку поиска "INDESIT"</t>
  </si>
  <si>
    <t>Откроется страница результатов поиска с товарами, вклющающими слово "INDESIT" с сообщением "Товаров, соответствующих вашему запросу, не найдено"</t>
  </si>
  <si>
    <t>Сценарий "Поиск товара на главной странице (раздел "Главная)"
1. Нажать на изображение (плитку) подкатегории "Книги" или на кнопку "Посмотреть" в изображении (плитке)</t>
  </si>
  <si>
    <t>Откроются плитки с изображением товаров в категории "Книги" в "Каталоге товаров" - 1 шт.</t>
  </si>
  <si>
    <t>Сценарий "Поиск товара на главной странице (раздел "Главная)"
1. Нажать на изображение (плитку) подкатегории "Фотоаппараты" или на кнопку "Посмотреть" в изображении (плитке)</t>
  </si>
  <si>
    <t>Откроются плитки с изображением товаров в подкатегории "Фото/Видео" категории "Электроника" в "Каталоге товаров" - 4 шт.</t>
  </si>
  <si>
    <t>Сценарий "Поиск товара в разделе "Главная""
1. Нажать на изображение (плитку) подкатегории "Планшеты" или на кнопку "Посмотреть" в изображении (плитке)</t>
  </si>
  <si>
    <t>Откроются плитки с изображением товаров в подкатегории "Планшеты" категории "Электроника" в "Каталоге товаров" - 3 шт.</t>
  </si>
  <si>
    <t>Сценарий "Поиск товара с главной страницы в подкатегории "Фотоаппараты (Фото/Видео)" и возврат в раздел "Главная" с помощью кликабельной ссылки"
1. Нажать на изображение (плитку) или кнопку "Подробнее" подкатегории "Фотоаппараты (Фото/Видео)"
2. Нажать на плитку с изображением товара "Фотоаппарат CANON EOS M50 kit ( 18-150 IS STM), черный"
3. Нажать на кликабельную ссылку подкатегории "Фотоаппараты (Фото/Видео)"
4. Нажать на кликабельную ссылку категории "Электроника"
5. Нажать на кликабельную ссылку "Каталог товаров"
6. Нажать на кликабельную ссылку "Главная"</t>
  </si>
  <si>
    <t>Последовательно откроются:
1. Карточка товара "Фотоаппарат CANON EOS M50 kit ( 18-150 IS STM), черный";
2. Подкатегории "Фотоаппараты (Фото/Видео)";
3. Категории "Электроника";
4. Раздел меню "Каталог товаров";
5. Страница "Главная".</t>
  </si>
  <si>
    <t>Сценарий "Поиск товара в блоке "Распродажа" в разделе "Главная""
1. Нажать на кнопки "&lt;" и "&gt;";
2. Нажать на плитку с товаром "Фитнес-браслет Xiaomi Smart Band 7 Pro".</t>
  </si>
  <si>
    <t>Откроется карточка товара "Фитнес-браслет Xiaomi Smart Band 7 Pro"</t>
  </si>
  <si>
    <t>Сценарий "Поиск товара в блоке "Распродажа" в разделе "Главная""
1. Навести курсор на плитку с товаром "Фитнес-браслет Xiaomi Smart Band 7 Pro";
2. Нажать на появившуюся кнопку "В корзину";
3. Нажать на появившуюся кнопку "Подробнее".</t>
  </si>
  <si>
    <t>Сценарий "Поиск товара в блоке "Новые поступления" в разделе "Главная""
1. Нажать на плитку с товаром "New Black Men’s Jeans"</t>
  </si>
  <si>
    <t>Откроется карточка товара "New Black Men’s Jeans"</t>
  </si>
  <si>
    <t>Сценарий "Поиск товара в разделе "Категории товаров" с помощью всплывающего меню"
1. Навести курсор на раздел меню "Каталог";
2. В всплывающем меню выбрать/нажать на подкатегорию "Холодильники" категории "Бытовая техника";
3. В всплывающем меню выбрать/нажать на подкатегорию "Стиральные машины" категории "Бытовая техника";
4. В всплывающем меню выбрать/нажать на подкатегорию "Телефоны" категории "Электроника";
5. В всплывающем меню выбрать/нажать на подкатегорию "Телефоны" категории "Планшеты";
6. В всплывающем меню выбрать/нажать на подкатегорию "Телевизоры" категории "Электроника";
7. В всплывающем меню выбрать/нажать на подкатегорию "Фотоаппараты (Фото/Видео)" категории "Электроника";
8. В всплывающем меню выбрать/нажать на подкатегорию "Часы" категории "Электроника";
9. В всплывающем меню выбрать/нажать на категорию "Книги";
10. В всплывающем меню выбрать/нажать на категорию "Одежда".</t>
  </si>
  <si>
    <t>Откроются последовательно:
- Плитки с изображением товаров в подкатегории "Холодильники" категории "Бытовая техника" в "Каталоге товаров";
- Плитки с изображением товаров в подкатегории "Стиральные машины" категории "Бытовая техника" в "Каталоге товаров";
- Плитки с изображением товаров в подкатегории "Телефоны" категории "Электроника" в "Каталоге товаров";
- Плитки с изображением товаров в подкатегории "Телефоны" категории "Электроника" в "Планшеты";
- Плитки с изображением товаров в подкатегории "Телевизоры" категории "Электроника" в "Каталоге товаров";
- Плитки с изображением товаров в подкатегории "Фотоаппараты (Фото/Видео)" категории "Электроника" в "Каталоге товаров";
- Плитки с изображением товаров в подкатегории "Часы" категории "Электроника" в "Каталоге товаров";
- Плитки с изображением товаров в категории "Книги" в "Каталоге товаров";
- Плитки с изображением товаров в категории "Одежда" в "Каталоге товаров".</t>
  </si>
  <si>
    <t>Сценарий "Поиск товара в разделе "Категории товаров" с помощью списка категорий и сортировки по убанию цены"
1. Нажать на раздел меню "Каталог"
2. Нажать на категорию "Электроника" в блоке "Категории товаров"
3. Отсортировать список по убыванию цены
4. Перейти на 2 страницу</t>
  </si>
  <si>
    <t>Отобразятся плитки с изображением товаров в категории "Электроника" отсортированный по убыванию цены - 21 шт.</t>
  </si>
  <si>
    <t>Сценарий "Поиск товара в разделе "Категории товаров" с помощью списка категорий и сортировки по возрастанию цены"
1. Нажать на раздел меню "Каталог"
2. Нажать на категорию "Планшеты" в блоке "Категории товаров"
3. Отсортировать список по возрастанию цены</t>
  </si>
  <si>
    <t>Отобразятся плитки с изображением товаров в категории "Планшеты" отсортированный по возрастанию цены - 3 шт.</t>
  </si>
  <si>
    <t>Сценарий "Поиск товара в разделе "Категории товаров" с помощью списка категорий и сортировки по популярности"
1. Нажать на раздел меню "Каталог"
2. Нажать на категорию "Стиральные машины" в блоке "Категории товаров"
3. Отсортировать список по популярности</t>
  </si>
  <si>
    <t>Отобразятся плитки с изображением товаров в категории "Стиральные машины" отсортированный по популярности - 5 шт.</t>
  </si>
  <si>
    <t>Сценарий "Поиск товара в разделе "Категории товаров" с помощью списка категорий и сортировки по рейтингу"
1. Нажать на раздел меню "Каталог"
2. Нажать на категорию "Бытовая техника" в блоке "Категории товаров"
3. Отсортировать список по рейтингу</t>
  </si>
  <si>
    <t>Отобразятся плитки с изображением товаров в категории "Бытовая техника" отсортированный по рейтинку - 12 шт.</t>
  </si>
  <si>
    <t>Сценарий "Поиск товара в разделе "Категории товаров" с помощью списка категорий и сортировки по поступлению"
1. Нажать на раздел меню "Каталог"
2. Нажать на категорию "Телефоны" в блоке "Категории товаров"
3. Отсортировать список по поступлению</t>
  </si>
  <si>
    <t>Отобразятся плитки с изображением товаров в категории "Телефоны" отсортированный по поступлению- 7 шт.</t>
  </si>
  <si>
    <t>Сценарий "Поиск товара в разделе "Категории товаров" с помощью списка категорий и фильтра по цене"
1. Нажать на раздел меню "Каталог"
2. Нажать на категорию "Электроника" в блоке "Категории товаров"
3. Установить бегунками слева и справа диапазон цен: 9500- 30020
4. Отсортировать полученный список по рейтингу</t>
  </si>
  <si>
    <t>Отобразятся плитки с изображением товаров в категории "Электроника" в установленном диапазоне отсортированный по рейтингу- 9 шт.</t>
  </si>
  <si>
    <t>Сценарий "Просмотр карточки товара, описания и отзывов о товаре"
1. Открыть произвольную карточку товара, например, "Цифровой фотоаппарат NIKON CoolPix B500, черный"
2. Просмотр вкладки "Описание"
3. Нажать на вкладку "Отзывы"</t>
  </si>
  <si>
    <t>Открылась карточка товара "Цифровой фотоаппарат NIKON CoolPix B500, черный" с вкладками "Описание" и "Отзывы"</t>
  </si>
  <si>
    <t>Сценарий "Просмотр фотографий товара"
1. Открыть произвольную карточку товара, например, "Фитнес-браслет Xiaomi Smart Band 7 Pro"
2. Нажать на пиктограмму "Лупа"
3. Нажать на значок увелечиния изображения</t>
  </si>
  <si>
    <t xml:space="preserve">Открылся режим просмотра товара "Фитнес-браслет Xiaomi Smart Band 7 Pro" в отдельном окне </t>
  </si>
  <si>
    <t>Сценарий "Добавление товара в корзину"
1. Открыть произвольную карточку товара, например, "Цифровой фотоаппарат NIKON CoolPix B500, черный"
2. Нажать кнопку "В корзину"
3. Перейти в корзину, кликнув на соответствующий раздел в меню</t>
  </si>
  <si>
    <t>Товар добавлен в корзину</t>
  </si>
  <si>
    <t>Сценарий "Добавление товара в корзину"
1. Открыть произвольную карточку товара, например, "LED телевизор XIAOMI Mi TV 4S 43 Ultra HD 4K"
2. Нажать кнопку "В корзину"
3. Перейти в корзину, кликнув на соответствующий раздел в подвале сайта</t>
  </si>
  <si>
    <t>Сценарий "Добавление товара в корзину"
1. Открыть произвольную карточку товара, например, "Смартфон HONOR 10i 128Gb, красный"
2. Нажать кнопку "В корзину"
3. Перейти в корзину, кликнув на значок корзины или стоимость товаров в ней</t>
  </si>
  <si>
    <t>Сценарий "Добавление товара в корзину"
1. Нажать кнопку "В корзину" произвольной карточки (плитку) товара, например, "iPad 2020 32gb wi-fi"
2. Нажать появившуюся кнопку "Подробнее"</t>
  </si>
  <si>
    <t>Сценарий "Просмотр карточки товара из корзины"
1. Открыть корзину (нажав на соответствующий раздел в меню или в подвале сайта или на значок корзины (стоимость товаров в корзине)
2. Нажать на название товара в таблице, например, "iPad 2020 32gb wi-fi"</t>
  </si>
  <si>
    <t>Открылась карточка товара</t>
  </si>
  <si>
    <t xml:space="preserve">Сценарий "Просмотр товаров в корзине при отсутствии товаров в ней"
1. Нажать на соответствующий раздел в меню или в подвале сайта или на значок корзины (ссылку)
</t>
  </si>
  <si>
    <t>Сообщение "Корзина пуста"</t>
  </si>
  <si>
    <t>Сценарий "Возврат удаленного товара в корзину"
1. Открыть корзину (нажав на соответствующий раздел в меню или в подвале сайта или на значок корзины (стоимость товаров в корзине)
2. Нажать на символ "Х" в левой части таблицы товара, например, "LED телевизор XIAOMI Mi TV 4S 43 Ultra HD 4K"
3. Нажать по ссылке "Вернуть?"</t>
  </si>
  <si>
    <t>Товар отразился в корзине</t>
  </si>
  <si>
    <t>Сценарий "Удаление товара из корзины"
1. Открыть корзину (нажав на соответствующий раздел в меню или в подвале сайта или на значок корзины (стоимость товаров в корзине)
2. Нажать на символ "Х" в левой части таблицы товара, например, "LED телевизор XIAOMI Mi TV 4S 43 Ultra HD 4K"</t>
  </si>
  <si>
    <t>Товар удален из корзины, стоимость пересчиталась автоматически</t>
  </si>
  <si>
    <t>Сценарий "Изменение количества товара в корзине"
1. Открыть корзину (нажав на соответствующий раздел в меню или в подвале сайта или на значок корзины (стоимость товаров в корзине)
2. Изменить количество товара , например, "Смартфон HONOR 10i 128Gb, красный" на 2 с помощью стрелок "увеличить/уменьшить" в поле "Количество" или с клавиатуры.
3. Нажать кнопку "Обновить корзину"</t>
  </si>
  <si>
    <t>Количество товара в таблице изменилось, стоимость пересчиталась</t>
  </si>
  <si>
    <t>Сценарий "Ввод неправильного купона "
1. Открыть корзину (нажав на соответствующий раздел в меню или в подвале сайта или на значок корзины (ссылку))
2. Ввод неправильного купона в соответствующее поле (для нужд тестирования выделены промокод на 20% "ХХХ" и сертификат на 500 рублей "УУУ", выданные для тестирования  сертификаты многоразовые), напримар, "123"
3. Нажать кнопку "Применить купон"</t>
  </si>
  <si>
    <t>Сообщение "Неверный купон"</t>
  </si>
  <si>
    <t>Сценарий "Ввод существующего купона "
1. Открыть корзину (нажав на соответствующий раздел в меню или в подвале сайта или на значок корзины (ссылку))
2. Ввод купона в соответствующее поле (для нужд тестирования выделены промокод на 20% "ХХХ" и сертификат на 500 рублей "УУУ", выданные для тестирования  сертификаты многоразовые), принимает "SERT500"
3. Нажать кнопку "Применить купон"</t>
  </si>
  <si>
    <t>Сообщение "Код успешно добавлен". Изменение (уменьшение) суммы к оплате на сумму купона (скидки)</t>
  </si>
  <si>
    <t>Сценарий "Ввод уже использованного купона "
1. Открыть корзину (нажав на соответствующий раздел в меню или в подвале сайта или на значок корзины (ссылку))
2. Ввод купона в соответствующее поле, например, SERT500
3. Нажать кнопку "Применить купон"
4. Ввод уже использованного купона в соответствующее поле, еще раз "SERT500"
5. Нажать кнопку "Применить купон"</t>
  </si>
  <si>
    <t>Сообщение "Купон уже был использован".</t>
  </si>
  <si>
    <t>Сценарий "Удаление введенного ранее купона "
1. Открыть корзину (нажав на соответствующий раздел в меню или в подвале сайта или на значок корзины (ссылку))
2. Отменить применение ранее введенной скидки "SERT500" нажав на "Удалить"</t>
  </si>
  <si>
    <t>Сообщение "Купон удален"</t>
  </si>
  <si>
    <t>Сценарий "Ввод пустого поля купон "
1. Открыть корзину (нажав на соответствующий раздел в меню или в подвале сайта или на значок корзины (ссылку))
2. Ничего не вводить в поле купон
3. Нажать кнопку "Применить купон"</t>
  </si>
  <si>
    <t>Сообщение "Пожалуйста, введите купон"</t>
  </si>
  <si>
    <t>Сценарий "Офомление заказа для нового пользователя"
1. Нажать на соответствующий раздел в меню или в подвале сайта или на значок корзины (стоимость товаров в корзине) или на кнопку "Перейти к оплате" в корзине
2. При наличии купона нажать на соответствующую ссылку ввести код купона и нажать "Применить купон" (Купон можно применить после авторизации)
3. Нажать ссылку на авторизацию
4. Для дальнейшего оформления заказа новому пользователю необходимо зарегистрироваться, нажать на соответствующий раздел в подвале сайта или через раздел "Мой аккаунт" и пройти регистрацию и авторизацию
5. Перейти в раздел "Оформления заказа" и заполнить личные данные
6. Выбрать форму оплаты отметив радиокнопку ("Прямой банковский перевод" или "Оплата при доставке")
7. Нажать кнопку "Оформить заказ"</t>
  </si>
  <si>
    <t>Заказ оформлен. Если какое-то из обязательных полей будет не заполнено (отмечены "*"), то при переходе к оплате ошибка типа «"Название поля" обязательное поле»</t>
  </si>
  <si>
    <t>Сценарий "Офомление заказа для зарегистрированного пользователя"
1. Нажать на соответствующий раздел в меню или в подвале сайта или на значок корзины (стоимость товаров в корзине) или на кнопку "Перейти к оплате" в корзине
2. При наличии купона нажать на соответствующую ссылку ввести код купона и нажать "Применить купон" (Купон можно применить после авторизации)
3. Нажать ссылку на авторизацию
4. Ввести значения логина и пароля ранее зарегистрированного пользователя в соответствующие поля и нажать кнопку "Войти"
5. Изменить при необходимости личные данные
6. Выбрать форму оплаты отметив радиокнопку ("Прямой банковский перевод" (по умолчанию) или "Оплата при доставке")
7. Нажать кнопку "Оформить заказ"</t>
  </si>
  <si>
    <t>Сценарий "Оплата заказа"
Нажатие кнопки "Оформить заказ" является переходом на стадию оплаты</t>
  </si>
  <si>
    <t>Для нужд тестирования реализована "фейковая оплата". Способ оплаты "Банковский перевод" не настоящий, т.е. не подразумевает ввод реальных реквизитов и оплаты. При выборе этого метода оплаты, заказ помечаем как "Оплаченный"</t>
  </si>
  <si>
    <t>Сценарий "Обратная связь, отправка отзыва на ранее приобретенный товар" 
1. Авторизоваться 
2. Войти во вкладку "Заказы" 
3. Открыть, например, последний заказ нажав кнопку "Подробнее" 
4. Открыть карточку товара, например, "Apple Watch 6" нажав на ссылку наименование товара в таблице 
5. Нажать на вкладку "Отзывы" в "Карточке товара" 
6. Отметить любое количество звезд 
7. В поле "Твой отзыв" написать любой отзыв 
8. Нажать кнопку "Отправить"</t>
  </si>
  <si>
    <t>Отзыв на товар отправлен</t>
  </si>
  <si>
    <t>Сценарий "Регистрация и авторизация"
1. Нажать "Зарегистрироваться" в подвале сайта или одноименную кнопку в форме авторизации
2. Попытаться зарегистрироваться без имени пользователя</t>
  </si>
  <si>
    <t xml:space="preserve">Ошибка "Пожалуйста введите корректное имя пользователя." </t>
  </si>
  <si>
    <t>Сценарий "Регистрация и авторизация"
1. Нажать "Зарегистрироваться" в подвале сайта или одноименную кнопку в форме авторизации
2. Попытаться зарегистрироваться без адреса электронной почты</t>
  </si>
  <si>
    <t>Ошибка "Пожалуйста введите адрес электронной почты."</t>
  </si>
  <si>
    <t>Сценарий "Регистрация и авторизация"
1. Нажать "Зарегистрироваться" в подвале сайта или одноименную кнопку в форме авторизации
2. Попытаться зарегистрироваться без пароля</t>
  </si>
  <si>
    <t>Ошибка "Пожалуйста введите пароль."</t>
  </si>
  <si>
    <t>Сценарий "Регистрация и авторизация"
1. Нажать "Зарегистрироваться" в подвале сайта или одноименную кнопку в форме авторизации
2. Попытаемся зарегистрировать пользователя с существующим именем</t>
  </si>
  <si>
    <t>Ошибка "Учетная запись с таким именем пользователя уже зарегистрирована."</t>
  </si>
  <si>
    <t>Сценарий "Регистрация и авторизация"
1. Нажать "Зарегистрироваться" в подвале сайта или одноименную кнопку в форме авторизации
2. Попытаемся зарегистрировать пользователя с существующей электронной почтой</t>
  </si>
  <si>
    <t>Ошибка "Учетная запись с такой почтой уже зарегистирована. Пожалуйста авторизуйтесь."</t>
  </si>
  <si>
    <t>Сценарий "Регистрация и авторизация"
1. Нажать "Зарегистрироваться" в подвале сайта или одноименную кнопку в форме авторизации
2. Ввести валидные имя, адрес, пароль
3. Нажать кнопку "Зарегистрироваться"</t>
  </si>
  <si>
    <t>Пользователь зарегистрирован и авторизован</t>
  </si>
  <si>
    <t>Сценарий "Авторизация"
Для ранее зарегистрированных пользователей
1. Нажать на "Мой аккаунт" в меню или в подвале сайта или на ссылку "Войти"
2. Не вводить имя пользователя/адрес почты и нажать "Войти"</t>
  </si>
  <si>
    <t>Ошибка "Имя пользователя или электронная почта обязательны".</t>
  </si>
  <si>
    <t>Сценарий "Авторизация"
Для ранее зарегистрированных пользователей
1. Нажать на "Мой аккаунт" в меню или в подвале сайта или на ссылку "Войти"
2. Ввести только один логин/адрес почты, без пароля и нажать "Войти"</t>
  </si>
  <si>
    <t>Ошибка "Пароль обязателен".</t>
  </si>
  <si>
    <t>Сценарий "Авторизация"
Для ранее зарегистрированных пользователей
1. Нажать на "Мой аккаунт" в меню или в подвале сайта или на ссылку "Войти"
2. Ничего не вводить и нажать "Войти"</t>
  </si>
  <si>
    <t>Сценарий "Авторизация"
Для ранее зарегистрированных пользователей
1. Нажать на "Мой аккаунт" в меню или в подвале сайта или на ссылку "Войти"
2. Ввести неправильное имя пользователя и нажать "Войти"</t>
  </si>
  <si>
    <t>Ошибка "Неизвестные имя пользователя или электронная почта или пароль. Попробуйте еще раз".</t>
  </si>
  <si>
    <t>Сценарий "Авторизация"
Для ранее зарегистрированных пользователей
1. Нажать на "Мой аккаунт" в меню или в подвале сайта или на ссылку "Войти"
2. Ввести неправильный адрес почты и нажать "Войти"</t>
  </si>
  <si>
    <t>Сценарий "Авторизация"
Для ранее зарегистрированных пользователей
1. Нажать на "Мой аккаунт" в меню или в подвале сайта или на ссылку "Войти"
2. Ввести неправильный пароль, но верное имя пользователя и нажать "Войти"</t>
  </si>
  <si>
    <t>Сценарий "Авторизация"
Для ранее зарегистрированных пользователей
1. Нажать на "Мой аккаунт" в меню или в подвале сайта или на ссылку "Войти"
2. Ввести корректные значения имени пользователя/адрес электронной почти и пароля и нажать "Войти"</t>
  </si>
  <si>
    <t>Пользователь авторизован</t>
  </si>
  <si>
    <t>Сценарий "Восстановление пароля"
1. Нажать на ссылку "Забыли пароль?" в форме авторизации
2. Не вводить ничего и нажать "Сбросить пароль"</t>
  </si>
  <si>
    <t>Ошибка "Введите имя пользователя или электронную почту"</t>
  </si>
  <si>
    <t>Сценарий "Восстановление пароля"
1. Нажать на ссылку "Забыли пароль?" в форме авторизации
2. Ввести незарегистрированную или невалидную почту и нажать "Сбросить пароль"</t>
  </si>
  <si>
    <t>Ошибка "Неверное имя пользователя или почта"</t>
  </si>
  <si>
    <t>Сценарий "Восстановление пароля"
1. Нажать на ссылку "Забыли пароль?" в форме авторизации
2. Ввести валидное значение имени или почты и нажать "Сбросить пароль"</t>
  </si>
  <si>
    <t>Письмо для сброса пароля было отправлено на адрес электронной почты</t>
  </si>
  <si>
    <t>Сценарий "Добавление товара в корзину из ранее сделанного заказа"
1. Авторизоваться через раздел "Мой аккаунт" в меню или в подвале сайта или ссылку "Войти" 
2. Нажать на ссылку "свои заказы"
3. Нажать на кнопку "Подробнее" в оформленном ранее любом заказе
4. Нажать на любой товар в списке заказа, откроется карточка товара
5. Нажать кнопку "В корзину"</t>
  </si>
  <si>
    <t>Сценарий "Изменение данных авторизованного пользователя"
1. Авторизоваться через раздел "Мой аккаунт" в меню или в подвале сайта или ссылку "Войти" 
2. Нажать на ссылку "изменить данные"
3. Внести необходимые изменения
4. Нажать кнопку "Сохранить изменения"</t>
  </si>
  <si>
    <t>Изменения внесены</t>
  </si>
  <si>
    <t xml:space="preserve">Сумма: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</si>
</sst>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font>
      <color theme="1"/>
      <name val="Arial"/>
    </font>
    <font>
      <color rgb="FF000000"/>
      <name val="Arial"/>
    </font>
  </fonts>
  <fills count="4">
    <fill>
      <patternFill patternType="none"/>
    </fill>
    <fill>
      <patternFill patternType="lightGray"/>
    </fill>
    <fill>
      <patternFill patternType="solid">
        <fgColor rgb="FFD9EAD3"/>
        <bgColor rgb="FFD9EAD3"/>
      </patternFill>
    </fill>
    <fill>
      <patternFill patternType="solid">
        <fgColor rgb="FFFFFFFF"/>
        <bgColor rgb="FFFFFFFF"/>
      </patternFill>
    </fill>
  </fills>
  <borders count="17">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bottom style="thin">
        <color rgb="FF000000"/>
      </bottom>
    </border>
    <border>
      <left style="thin">
        <color rgb="FF000000"/>
      </left>
    </border>
    <border>
      <right style="thin">
        <color rgb="FF000000"/>
      </right>
    </border>
    <border>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vertical="center"/>
    </xf>
    <xf borderId="1" fillId="0" fontId="1" numFmtId="0" xfId="0" applyAlignment="1" applyBorder="1" applyFont="1">
      <alignment horizontal="center" vertical="center"/>
    </xf>
    <xf borderId="2" fillId="0" fontId="1" numFmtId="0" xfId="0" applyAlignment="1" applyBorder="1" applyFont="1">
      <alignment horizontal="center"/>
    </xf>
    <xf borderId="3" fillId="0" fontId="2" numFmtId="0" xfId="0" applyBorder="1" applyFont="1"/>
    <xf borderId="4" fillId="0" fontId="2" numFmtId="0" xfId="0" applyBorder="1" applyFont="1"/>
    <xf borderId="5" fillId="0" fontId="2" numFmtId="0" xfId="0" applyBorder="1" applyFont="1"/>
    <xf borderId="6" fillId="0" fontId="3" numFmtId="0" xfId="0" applyAlignment="1" applyBorder="1" applyFont="1">
      <alignment horizontal="center"/>
    </xf>
    <xf borderId="7" fillId="2" fontId="3" numFmtId="0" xfId="0" applyAlignment="1" applyBorder="1" applyFill="1" applyFont="1">
      <alignment horizontal="left" shrinkToFit="0" vertical="center" wrapText="1"/>
    </xf>
    <xf borderId="8" fillId="0" fontId="2" numFmtId="0" xfId="0" applyBorder="1" applyFont="1"/>
    <xf borderId="0" fillId="0" fontId="3" numFmtId="0" xfId="0" applyAlignment="1" applyFont="1">
      <alignment horizontal="left" shrinkToFit="0" vertical="center" wrapText="1"/>
    </xf>
    <xf borderId="9" fillId="0" fontId="3" numFmtId="0" xfId="0" applyAlignment="1" applyBorder="1" applyFont="1">
      <alignment horizontal="center" vertical="center"/>
    </xf>
    <xf borderId="10" fillId="0" fontId="3" numFmtId="0" xfId="0" applyAlignment="1" applyBorder="1" applyFont="1">
      <alignment shrinkToFit="0" vertical="top" wrapText="1"/>
    </xf>
    <xf borderId="11" fillId="0" fontId="3" numFmtId="0" xfId="0" applyAlignment="1" applyBorder="1" applyFont="1">
      <alignment shrinkToFit="0" vertical="top" wrapText="1"/>
    </xf>
    <xf borderId="12" fillId="0" fontId="3" numFmtId="0" xfId="0" applyAlignment="1" applyBorder="1" applyFont="1">
      <alignment horizontal="center" vertical="top"/>
    </xf>
    <xf borderId="13" fillId="0" fontId="2" numFmtId="0" xfId="0" applyBorder="1" applyFont="1"/>
    <xf borderId="14" fillId="0" fontId="2" numFmtId="0" xfId="0" applyBorder="1" applyFont="1"/>
    <xf borderId="12" fillId="0" fontId="3" numFmtId="0" xfId="0" applyAlignment="1" applyBorder="1" applyFont="1">
      <alignment shrinkToFit="0" vertical="top" wrapText="1"/>
    </xf>
    <xf borderId="15" fillId="0" fontId="3" numFmtId="0" xfId="0" applyAlignment="1" applyBorder="1" applyFont="1">
      <alignment shrinkToFit="0" vertical="top" wrapText="1"/>
    </xf>
    <xf borderId="9" fillId="0" fontId="3" numFmtId="0" xfId="0" applyAlignment="1" applyBorder="1" applyFont="1">
      <alignment horizontal="center" vertical="top"/>
    </xf>
    <xf borderId="16" fillId="0" fontId="2" numFmtId="0" xfId="0" applyBorder="1" applyFont="1"/>
    <xf borderId="15" fillId="0" fontId="2" numFmtId="0" xfId="0" applyBorder="1" applyFont="1"/>
    <xf borderId="0" fillId="0" fontId="3" numFmtId="0" xfId="0" applyAlignment="1" applyFont="1">
      <alignment shrinkToFit="0" vertical="top" wrapText="1"/>
    </xf>
    <xf borderId="12" fillId="0" fontId="3" numFmtId="0" xfId="0" applyAlignment="1" applyBorder="1" applyFont="1">
      <alignment shrinkToFit="0" wrapText="1"/>
    </xf>
    <xf borderId="9" fillId="0" fontId="3" numFmtId="0" xfId="0" applyAlignment="1" applyBorder="1" applyFont="1">
      <alignment vertical="top"/>
    </xf>
    <xf borderId="9" fillId="0" fontId="3" numFmtId="0" xfId="0" applyAlignment="1" applyBorder="1" applyFont="1">
      <alignment shrinkToFit="0" vertical="top" wrapText="1"/>
    </xf>
    <xf borderId="9" fillId="0" fontId="3" numFmtId="0" xfId="0" applyAlignment="1" applyBorder="1" applyFont="1">
      <alignment shrinkToFit="0" vertical="bottom" wrapText="1"/>
    </xf>
    <xf borderId="9" fillId="0" fontId="3" numFmtId="0" xfId="0" applyAlignment="1" applyBorder="1" applyFont="1">
      <alignment shrinkToFit="0" wrapText="1"/>
    </xf>
    <xf borderId="9" fillId="3" fontId="4" numFmtId="0" xfId="0" applyAlignment="1" applyBorder="1" applyFill="1" applyFont="1">
      <alignment horizontal="left" shrinkToFit="0" wrapText="1"/>
    </xf>
    <xf borderId="3" fillId="0" fontId="3" numFmtId="0" xfId="0" applyAlignment="1" applyBorder="1" applyFont="1">
      <alignment shrinkToFit="0" vertical="top" wrapText="1"/>
    </xf>
    <xf borderId="1" fillId="0" fontId="3" numFmtId="0" xfId="0" applyAlignment="1" applyBorder="1" applyFont="1">
      <alignment shrinkToFit="0" vertical="top" wrapText="1"/>
    </xf>
    <xf borderId="0" fillId="0" fontId="3" numFmtId="0" xfId="0" applyAlignment="1" applyFont="1">
      <alignment horizontal="center"/>
    </xf>
    <xf borderId="9" fillId="0" fontId="1" numFmtId="0" xfId="0" applyAlignment="1" applyBorder="1" applyFont="1">
      <alignment horizontal="right"/>
    </xf>
    <xf borderId="9"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3"/>
    <col customWidth="1" min="2" max="3" width="42.63"/>
    <col customWidth="1" min="4" max="4" width="10.38"/>
    <col customWidth="1" min="5" max="5" width="9.75"/>
    <col customWidth="1" min="6" max="6" width="7.38"/>
    <col customWidth="1" min="7" max="7" width="15.0"/>
    <col customWidth="1" min="8" max="8" width="14.5"/>
  </cols>
  <sheetData>
    <row r="1" ht="15.75" customHeight="1">
      <c r="A1" s="1" t="s">
        <v>0</v>
      </c>
      <c r="B1" s="2" t="s">
        <v>1</v>
      </c>
      <c r="C1" s="2" t="s">
        <v>2</v>
      </c>
      <c r="D1" s="3" t="s">
        <v>3</v>
      </c>
      <c r="E1" s="4"/>
    </row>
    <row r="2" ht="15.75" customHeight="1">
      <c r="A2" s="5"/>
      <c r="B2" s="6"/>
      <c r="C2" s="6"/>
      <c r="D2" s="7" t="s">
        <v>4</v>
      </c>
      <c r="E2" s="7" t="s">
        <v>5</v>
      </c>
      <c r="G2" s="8" t="s">
        <v>6</v>
      </c>
      <c r="H2" s="9"/>
      <c r="I2" s="10"/>
    </row>
    <row r="3" ht="15.75" customHeight="1">
      <c r="A3" s="11">
        <v>1.0</v>
      </c>
      <c r="B3" s="12" t="s">
        <v>7</v>
      </c>
      <c r="C3" s="13" t="s">
        <v>8</v>
      </c>
      <c r="D3" s="14">
        <v>2.0</v>
      </c>
      <c r="E3" s="14">
        <v>2.0</v>
      </c>
      <c r="G3" s="15"/>
      <c r="H3" s="16"/>
      <c r="I3" s="10"/>
    </row>
    <row r="4" ht="15.75" customHeight="1">
      <c r="A4" s="11">
        <f t="shared" ref="A4:A37" si="1">A3+1</f>
        <v>2</v>
      </c>
      <c r="B4" s="17" t="s">
        <v>9</v>
      </c>
      <c r="C4" s="18" t="s">
        <v>10</v>
      </c>
      <c r="D4" s="19">
        <v>1.0</v>
      </c>
      <c r="E4" s="19">
        <v>1.0</v>
      </c>
      <c r="G4" s="15"/>
      <c r="H4" s="16"/>
      <c r="I4" s="10"/>
    </row>
    <row r="5" ht="15.75" customHeight="1">
      <c r="A5" s="11">
        <f t="shared" si="1"/>
        <v>3</v>
      </c>
      <c r="B5" s="12" t="s">
        <v>11</v>
      </c>
      <c r="C5" s="18" t="s">
        <v>12</v>
      </c>
      <c r="D5" s="19">
        <v>2.0</v>
      </c>
      <c r="E5" s="19">
        <v>2.0</v>
      </c>
      <c r="G5" s="20"/>
      <c r="H5" s="21"/>
      <c r="I5" s="10"/>
    </row>
    <row r="6" ht="15.75" customHeight="1">
      <c r="A6" s="11">
        <f t="shared" si="1"/>
        <v>4</v>
      </c>
      <c r="B6" s="17" t="s">
        <v>13</v>
      </c>
      <c r="C6" s="18" t="s">
        <v>14</v>
      </c>
      <c r="D6" s="11">
        <v>1.0</v>
      </c>
      <c r="E6" s="11">
        <v>1.0</v>
      </c>
      <c r="G6" s="10"/>
      <c r="H6" s="10"/>
      <c r="I6" s="10"/>
    </row>
    <row r="7" ht="15.75" customHeight="1">
      <c r="A7" s="11">
        <f t="shared" si="1"/>
        <v>5</v>
      </c>
      <c r="B7" s="17" t="s">
        <v>15</v>
      </c>
      <c r="C7" s="18" t="s">
        <v>16</v>
      </c>
      <c r="D7" s="19">
        <v>2.0</v>
      </c>
      <c r="E7" s="19">
        <v>3.0</v>
      </c>
    </row>
    <row r="8" ht="15.75" customHeight="1">
      <c r="A8" s="11">
        <f t="shared" si="1"/>
        <v>6</v>
      </c>
      <c r="B8" s="17" t="s">
        <v>17</v>
      </c>
      <c r="C8" s="18" t="s">
        <v>18</v>
      </c>
      <c r="D8" s="19">
        <v>2.0</v>
      </c>
      <c r="E8" s="19">
        <v>3.0</v>
      </c>
      <c r="H8" s="22"/>
      <c r="I8" s="22"/>
    </row>
    <row r="9" ht="15.75" customHeight="1">
      <c r="A9" s="11">
        <f t="shared" si="1"/>
        <v>7</v>
      </c>
      <c r="B9" s="17" t="s">
        <v>19</v>
      </c>
      <c r="C9" s="18" t="s">
        <v>20</v>
      </c>
      <c r="D9" s="19">
        <v>2.0</v>
      </c>
      <c r="E9" s="19">
        <v>3.0</v>
      </c>
      <c r="H9" s="22"/>
      <c r="I9" s="22"/>
    </row>
    <row r="10" ht="15.75" customHeight="1">
      <c r="A10" s="11">
        <f t="shared" si="1"/>
        <v>8</v>
      </c>
      <c r="B10" s="17" t="s">
        <v>21</v>
      </c>
      <c r="C10" s="18" t="s">
        <v>22</v>
      </c>
      <c r="D10" s="19">
        <v>2.0</v>
      </c>
      <c r="E10" s="19">
        <v>5.0</v>
      </c>
    </row>
    <row r="11" ht="15.75" customHeight="1">
      <c r="A11" s="11">
        <f t="shared" si="1"/>
        <v>9</v>
      </c>
      <c r="B11" s="23" t="s">
        <v>23</v>
      </c>
      <c r="C11" s="18" t="s">
        <v>24</v>
      </c>
      <c r="D11" s="19">
        <v>2.0</v>
      </c>
      <c r="E11" s="19">
        <v>2.0</v>
      </c>
    </row>
    <row r="12" ht="15.75" customHeight="1">
      <c r="A12" s="11">
        <f t="shared" si="1"/>
        <v>10</v>
      </c>
      <c r="B12" s="23" t="s">
        <v>25</v>
      </c>
      <c r="C12" s="18" t="s">
        <v>24</v>
      </c>
      <c r="D12" s="19">
        <v>2.0</v>
      </c>
      <c r="E12" s="19">
        <v>2.0</v>
      </c>
    </row>
    <row r="13" ht="15.75" customHeight="1">
      <c r="A13" s="11">
        <f t="shared" si="1"/>
        <v>11</v>
      </c>
      <c r="B13" s="23" t="s">
        <v>26</v>
      </c>
      <c r="C13" s="18" t="s">
        <v>27</v>
      </c>
      <c r="D13" s="19">
        <v>2.0</v>
      </c>
      <c r="E13" s="19">
        <v>2.0</v>
      </c>
    </row>
    <row r="14" ht="15.75" customHeight="1">
      <c r="A14" s="11">
        <f t="shared" si="1"/>
        <v>12</v>
      </c>
      <c r="B14" s="23" t="s">
        <v>28</v>
      </c>
      <c r="C14" s="18" t="s">
        <v>29</v>
      </c>
      <c r="D14" s="19">
        <v>3.0</v>
      </c>
      <c r="E14" s="19">
        <v>5.0</v>
      </c>
    </row>
    <row r="15" ht="15.75" customHeight="1">
      <c r="A15" s="11">
        <f t="shared" si="1"/>
        <v>13</v>
      </c>
      <c r="B15" s="23" t="s">
        <v>30</v>
      </c>
      <c r="C15" s="18" t="s">
        <v>31</v>
      </c>
      <c r="D15" s="19">
        <v>1.0</v>
      </c>
      <c r="E15" s="19">
        <v>3.0</v>
      </c>
    </row>
    <row r="16" ht="15.75" customHeight="1">
      <c r="A16" s="11">
        <f t="shared" si="1"/>
        <v>14</v>
      </c>
      <c r="B16" s="23" t="s">
        <v>32</v>
      </c>
      <c r="C16" s="18" t="s">
        <v>33</v>
      </c>
      <c r="D16" s="19">
        <v>1.0</v>
      </c>
      <c r="E16" s="19">
        <v>0.0</v>
      </c>
    </row>
    <row r="17" ht="15.75" customHeight="1">
      <c r="A17" s="11">
        <f t="shared" si="1"/>
        <v>15</v>
      </c>
      <c r="B17" s="23" t="s">
        <v>34</v>
      </c>
      <c r="C17" s="18" t="s">
        <v>35</v>
      </c>
      <c r="D17" s="19">
        <v>1.0</v>
      </c>
      <c r="E17" s="19">
        <v>0.0</v>
      </c>
    </row>
    <row r="18" ht="15.75" customHeight="1">
      <c r="A18" s="11">
        <f t="shared" si="1"/>
        <v>16</v>
      </c>
      <c r="B18" s="23" t="s">
        <v>36</v>
      </c>
      <c r="C18" s="18" t="s">
        <v>37</v>
      </c>
      <c r="D18" s="19">
        <v>1.0</v>
      </c>
      <c r="E18" s="19">
        <v>0.0</v>
      </c>
    </row>
    <row r="19" ht="15.75" customHeight="1">
      <c r="A19" s="11">
        <f t="shared" si="1"/>
        <v>17</v>
      </c>
      <c r="B19" s="23" t="s">
        <v>38</v>
      </c>
      <c r="C19" s="18" t="s">
        <v>39</v>
      </c>
      <c r="D19" s="19">
        <v>1.0</v>
      </c>
      <c r="E19" s="19">
        <v>0.0</v>
      </c>
    </row>
    <row r="20" ht="15.75" customHeight="1">
      <c r="A20" s="11">
        <f t="shared" si="1"/>
        <v>18</v>
      </c>
      <c r="B20" s="23" t="s">
        <v>40</v>
      </c>
      <c r="C20" s="18" t="s">
        <v>41</v>
      </c>
      <c r="D20" s="19">
        <v>1.0</v>
      </c>
      <c r="E20" s="19">
        <v>0.0</v>
      </c>
    </row>
    <row r="21" ht="15.75" customHeight="1">
      <c r="A21" s="11">
        <f t="shared" si="1"/>
        <v>19</v>
      </c>
      <c r="B21" s="23" t="s">
        <v>42</v>
      </c>
      <c r="C21" s="18" t="s">
        <v>43</v>
      </c>
      <c r="D21" s="19">
        <v>2.0</v>
      </c>
      <c r="E21" s="19">
        <v>3.0</v>
      </c>
    </row>
    <row r="22" ht="15.75" customHeight="1">
      <c r="A22" s="11">
        <f t="shared" si="1"/>
        <v>20</v>
      </c>
      <c r="B22" s="23" t="s">
        <v>44</v>
      </c>
      <c r="C22" s="18" t="s">
        <v>45</v>
      </c>
      <c r="D22" s="19">
        <v>1.0</v>
      </c>
      <c r="E22" s="19">
        <v>2.0</v>
      </c>
    </row>
    <row r="23" ht="15.75" customHeight="1">
      <c r="A23" s="11">
        <f t="shared" si="1"/>
        <v>21</v>
      </c>
      <c r="B23" s="23" t="s">
        <v>46</v>
      </c>
      <c r="C23" s="18" t="s">
        <v>47</v>
      </c>
      <c r="D23" s="19">
        <v>1.0</v>
      </c>
      <c r="E23" s="19">
        <v>2.0</v>
      </c>
    </row>
    <row r="24" ht="15.75" customHeight="1">
      <c r="A24" s="11">
        <f t="shared" si="1"/>
        <v>22</v>
      </c>
      <c r="B24" s="23" t="s">
        <v>48</v>
      </c>
      <c r="C24" s="18" t="s">
        <v>47</v>
      </c>
      <c r="D24" s="19">
        <v>1.0</v>
      </c>
      <c r="E24" s="19">
        <v>1.0</v>
      </c>
    </row>
    <row r="25" ht="15.75" customHeight="1">
      <c r="A25" s="11">
        <f t="shared" si="1"/>
        <v>23</v>
      </c>
      <c r="B25" s="23" t="s">
        <v>49</v>
      </c>
      <c r="C25" s="18" t="s">
        <v>47</v>
      </c>
      <c r="D25" s="19">
        <v>1.0</v>
      </c>
      <c r="E25" s="19">
        <v>1.0</v>
      </c>
    </row>
    <row r="26" ht="15.75" customHeight="1">
      <c r="A26" s="11">
        <f t="shared" si="1"/>
        <v>24</v>
      </c>
      <c r="B26" s="23" t="s">
        <v>50</v>
      </c>
      <c r="C26" s="18" t="s">
        <v>47</v>
      </c>
      <c r="D26" s="19">
        <v>1.0</v>
      </c>
      <c r="E26" s="19">
        <v>1.0</v>
      </c>
    </row>
    <row r="27" ht="15.75" customHeight="1">
      <c r="A27" s="11">
        <f t="shared" si="1"/>
        <v>25</v>
      </c>
      <c r="B27" s="23" t="s">
        <v>51</v>
      </c>
      <c r="C27" s="18" t="s">
        <v>52</v>
      </c>
      <c r="D27" s="19">
        <v>2.0</v>
      </c>
      <c r="E27" s="19">
        <v>2.0</v>
      </c>
    </row>
    <row r="28" ht="15.75" customHeight="1">
      <c r="A28" s="11">
        <f t="shared" si="1"/>
        <v>26</v>
      </c>
      <c r="B28" s="23" t="s">
        <v>53</v>
      </c>
      <c r="C28" s="18" t="s">
        <v>54</v>
      </c>
      <c r="D28" s="19">
        <v>2.0</v>
      </c>
      <c r="E28" s="19">
        <v>2.0</v>
      </c>
    </row>
    <row r="29" ht="15.75" customHeight="1">
      <c r="A29" s="11">
        <f t="shared" si="1"/>
        <v>27</v>
      </c>
      <c r="B29" s="23" t="s">
        <v>55</v>
      </c>
      <c r="C29" s="18" t="s">
        <v>56</v>
      </c>
      <c r="D29" s="19">
        <v>2.0</v>
      </c>
      <c r="E29" s="19">
        <v>3.0</v>
      </c>
    </row>
    <row r="30" ht="15.75" customHeight="1">
      <c r="A30" s="11">
        <f t="shared" si="1"/>
        <v>28</v>
      </c>
      <c r="B30" s="23" t="s">
        <v>57</v>
      </c>
      <c r="C30" s="18" t="s">
        <v>58</v>
      </c>
      <c r="D30" s="19">
        <v>2.0</v>
      </c>
      <c r="E30" s="19">
        <v>1.0</v>
      </c>
    </row>
    <row r="31" ht="15.75" customHeight="1">
      <c r="A31" s="11">
        <f t="shared" si="1"/>
        <v>29</v>
      </c>
      <c r="B31" s="23" t="s">
        <v>59</v>
      </c>
      <c r="C31" s="18" t="s">
        <v>60</v>
      </c>
      <c r="D31" s="19">
        <v>1.0</v>
      </c>
      <c r="E31" s="19">
        <v>1.0</v>
      </c>
    </row>
    <row r="32" ht="15.75" customHeight="1">
      <c r="A32" s="11">
        <f t="shared" si="1"/>
        <v>30</v>
      </c>
      <c r="B32" s="23" t="s">
        <v>61</v>
      </c>
      <c r="C32" s="24" t="s">
        <v>62</v>
      </c>
      <c r="D32" s="19">
        <v>1.0</v>
      </c>
      <c r="E32" s="19">
        <v>3.0</v>
      </c>
    </row>
    <row r="33" ht="15.75" customHeight="1">
      <c r="A33" s="11">
        <f t="shared" si="1"/>
        <v>31</v>
      </c>
      <c r="B33" s="23" t="s">
        <v>63</v>
      </c>
      <c r="C33" s="25" t="s">
        <v>64</v>
      </c>
      <c r="D33" s="19">
        <v>1.0</v>
      </c>
      <c r="E33" s="19">
        <v>2.0</v>
      </c>
    </row>
    <row r="34" ht="15.75" customHeight="1">
      <c r="A34" s="11">
        <f t="shared" si="1"/>
        <v>32</v>
      </c>
      <c r="B34" s="23" t="s">
        <v>65</v>
      </c>
      <c r="C34" s="25" t="s">
        <v>66</v>
      </c>
      <c r="D34" s="19">
        <v>1.0</v>
      </c>
      <c r="E34" s="19">
        <v>2.0</v>
      </c>
    </row>
    <row r="35" ht="15.75" customHeight="1">
      <c r="A35" s="11">
        <f t="shared" si="1"/>
        <v>33</v>
      </c>
      <c r="B35" s="26" t="s">
        <v>67</v>
      </c>
      <c r="C35" s="25" t="s">
        <v>68</v>
      </c>
      <c r="D35" s="19">
        <v>1.0</v>
      </c>
      <c r="E35" s="19">
        <v>2.0</v>
      </c>
    </row>
    <row r="36" ht="15.75" customHeight="1">
      <c r="A36" s="11">
        <f t="shared" si="1"/>
        <v>34</v>
      </c>
      <c r="B36" s="23" t="s">
        <v>69</v>
      </c>
      <c r="C36" s="22" t="s">
        <v>70</v>
      </c>
      <c r="D36" s="19">
        <v>1.0</v>
      </c>
      <c r="E36" s="19">
        <v>2.0</v>
      </c>
    </row>
    <row r="37" ht="15.75" customHeight="1">
      <c r="A37" s="11">
        <f t="shared" si="1"/>
        <v>35</v>
      </c>
      <c r="B37" s="27" t="s">
        <v>71</v>
      </c>
      <c r="C37" s="25" t="s">
        <v>72</v>
      </c>
      <c r="D37" s="19">
        <v>2.0</v>
      </c>
      <c r="E37" s="19">
        <v>3.0</v>
      </c>
    </row>
    <row r="38" ht="15.75" customHeight="1">
      <c r="A38" s="11">
        <v>36.0</v>
      </c>
      <c r="B38" s="27" t="s">
        <v>73</v>
      </c>
      <c r="C38" s="25" t="s">
        <v>72</v>
      </c>
      <c r="D38" s="19">
        <v>2.0</v>
      </c>
      <c r="E38" s="19">
        <v>3.0</v>
      </c>
    </row>
    <row r="39" ht="15.75" customHeight="1">
      <c r="A39" s="11">
        <v>37.0</v>
      </c>
      <c r="B39" s="25" t="s">
        <v>74</v>
      </c>
      <c r="C39" s="25" t="s">
        <v>75</v>
      </c>
      <c r="D39" s="19">
        <v>1.0</v>
      </c>
      <c r="E39" s="19">
        <v>1.0</v>
      </c>
    </row>
    <row r="40" ht="15.75" customHeight="1">
      <c r="A40" s="11">
        <v>38.0</v>
      </c>
      <c r="B40" s="28" t="s">
        <v>76</v>
      </c>
      <c r="C40" s="17" t="s">
        <v>77</v>
      </c>
      <c r="D40" s="19">
        <v>2.0</v>
      </c>
      <c r="E40" s="19">
        <v>4.0</v>
      </c>
    </row>
    <row r="41" ht="15.75" customHeight="1">
      <c r="A41" s="11">
        <v>39.0</v>
      </c>
      <c r="B41" s="18" t="s">
        <v>78</v>
      </c>
      <c r="C41" s="17" t="s">
        <v>79</v>
      </c>
      <c r="D41" s="19">
        <v>2.0</v>
      </c>
      <c r="E41" s="19">
        <v>3.0</v>
      </c>
    </row>
    <row r="42" ht="15.75" customHeight="1">
      <c r="A42" s="11">
        <v>40.0</v>
      </c>
      <c r="B42" s="29" t="s">
        <v>80</v>
      </c>
      <c r="C42" s="25" t="s">
        <v>81</v>
      </c>
      <c r="D42" s="19">
        <v>2.0</v>
      </c>
      <c r="E42" s="19">
        <v>4.0</v>
      </c>
    </row>
    <row r="43" ht="15.75" customHeight="1">
      <c r="A43" s="11">
        <v>41.0</v>
      </c>
      <c r="B43" s="25" t="s">
        <v>82</v>
      </c>
      <c r="C43" s="25" t="s">
        <v>83</v>
      </c>
      <c r="D43" s="19">
        <v>2.0</v>
      </c>
      <c r="E43" s="19">
        <v>4.0</v>
      </c>
    </row>
    <row r="44" ht="15.75" customHeight="1">
      <c r="A44" s="11">
        <v>42.0</v>
      </c>
      <c r="B44" s="25" t="s">
        <v>84</v>
      </c>
      <c r="C44" s="17" t="s">
        <v>85</v>
      </c>
      <c r="D44" s="19">
        <v>2.0</v>
      </c>
      <c r="E44" s="19">
        <v>3.0</v>
      </c>
    </row>
    <row r="45" ht="15.75" customHeight="1">
      <c r="A45" s="11">
        <f t="shared" ref="A45:A58" si="2">A44+1</f>
        <v>43</v>
      </c>
      <c r="B45" s="25" t="s">
        <v>86</v>
      </c>
      <c r="C45" s="25" t="s">
        <v>87</v>
      </c>
      <c r="D45" s="19">
        <v>2.0</v>
      </c>
      <c r="E45" s="19">
        <v>4.0</v>
      </c>
    </row>
    <row r="46" ht="15.75" customHeight="1">
      <c r="A46" s="11">
        <f t="shared" si="2"/>
        <v>44</v>
      </c>
      <c r="B46" s="25" t="s">
        <v>88</v>
      </c>
      <c r="C46" s="30" t="s">
        <v>89</v>
      </c>
      <c r="D46" s="19">
        <v>2.0</v>
      </c>
      <c r="E46" s="19">
        <v>3.0</v>
      </c>
    </row>
    <row r="47" ht="15.75" customHeight="1">
      <c r="A47" s="11">
        <f t="shared" si="2"/>
        <v>45</v>
      </c>
      <c r="B47" s="25" t="s">
        <v>90</v>
      </c>
      <c r="C47" s="25" t="s">
        <v>91</v>
      </c>
      <c r="D47" s="19">
        <v>2.0</v>
      </c>
      <c r="E47" s="19">
        <v>4.0</v>
      </c>
    </row>
    <row r="48" ht="15.75" customHeight="1">
      <c r="A48" s="11">
        <f t="shared" si="2"/>
        <v>46</v>
      </c>
      <c r="B48" s="25" t="s">
        <v>92</v>
      </c>
      <c r="C48" s="30" t="s">
        <v>93</v>
      </c>
      <c r="D48" s="19">
        <v>2.0</v>
      </c>
      <c r="E48" s="19">
        <v>3.0</v>
      </c>
    </row>
    <row r="49" ht="15.75" customHeight="1">
      <c r="A49" s="11">
        <f t="shared" si="2"/>
        <v>47</v>
      </c>
      <c r="B49" s="25" t="s">
        <v>94</v>
      </c>
      <c r="C49" s="25" t="s">
        <v>91</v>
      </c>
      <c r="D49" s="19">
        <v>2.0</v>
      </c>
      <c r="E49" s="19">
        <v>3.0</v>
      </c>
    </row>
    <row r="50" ht="15.75" customHeight="1">
      <c r="A50" s="11">
        <f t="shared" si="2"/>
        <v>48</v>
      </c>
      <c r="B50" s="25" t="s">
        <v>95</v>
      </c>
      <c r="C50" s="25" t="s">
        <v>96</v>
      </c>
      <c r="D50" s="19">
        <v>2.0</v>
      </c>
      <c r="E50" s="19">
        <v>3.0</v>
      </c>
    </row>
    <row r="51" ht="15.75" customHeight="1">
      <c r="A51" s="11">
        <f t="shared" si="2"/>
        <v>49</v>
      </c>
      <c r="B51" s="25" t="s">
        <v>97</v>
      </c>
      <c r="C51" s="25" t="s">
        <v>96</v>
      </c>
      <c r="D51" s="19">
        <v>2.0</v>
      </c>
      <c r="E51" s="19">
        <v>3.0</v>
      </c>
    </row>
    <row r="52" ht="15.75" customHeight="1">
      <c r="A52" s="11">
        <f t="shared" si="2"/>
        <v>50</v>
      </c>
      <c r="B52" s="25" t="s">
        <v>98</v>
      </c>
      <c r="C52" s="25" t="s">
        <v>96</v>
      </c>
      <c r="D52" s="19">
        <v>2.0</v>
      </c>
      <c r="E52" s="19">
        <v>4.0</v>
      </c>
    </row>
    <row r="53" ht="15.75" customHeight="1">
      <c r="A53" s="11">
        <f t="shared" si="2"/>
        <v>51</v>
      </c>
      <c r="B53" s="25" t="s">
        <v>99</v>
      </c>
      <c r="C53" s="24" t="s">
        <v>100</v>
      </c>
      <c r="D53" s="19">
        <v>2.0</v>
      </c>
      <c r="E53" s="19">
        <v>3.0</v>
      </c>
    </row>
    <row r="54" ht="15.75" customHeight="1">
      <c r="A54" s="11">
        <f t="shared" si="2"/>
        <v>52</v>
      </c>
      <c r="B54" s="28" t="s">
        <v>101</v>
      </c>
      <c r="C54" s="25" t="s">
        <v>102</v>
      </c>
      <c r="D54" s="19">
        <v>1.0</v>
      </c>
      <c r="E54" s="19">
        <v>1.0</v>
      </c>
    </row>
    <row r="55" ht="15.75" customHeight="1">
      <c r="A55" s="11">
        <f t="shared" si="2"/>
        <v>53</v>
      </c>
      <c r="B55" s="28" t="s">
        <v>103</v>
      </c>
      <c r="C55" s="25" t="s">
        <v>104</v>
      </c>
      <c r="D55" s="19">
        <v>1.0</v>
      </c>
      <c r="E55" s="19">
        <v>1.0</v>
      </c>
    </row>
    <row r="56" ht="15.75" customHeight="1">
      <c r="A56" s="11">
        <f t="shared" si="2"/>
        <v>54</v>
      </c>
      <c r="B56" s="28" t="s">
        <v>105</v>
      </c>
      <c r="C56" s="25" t="s">
        <v>106</v>
      </c>
      <c r="D56" s="19">
        <v>1.0</v>
      </c>
      <c r="E56" s="19">
        <v>2.0</v>
      </c>
    </row>
    <row r="57" ht="15.75" customHeight="1">
      <c r="A57" s="11">
        <f t="shared" si="2"/>
        <v>55</v>
      </c>
      <c r="B57" s="27" t="s">
        <v>107</v>
      </c>
      <c r="C57" s="24" t="s">
        <v>47</v>
      </c>
      <c r="D57" s="19">
        <v>2.0</v>
      </c>
      <c r="E57" s="19">
        <v>3.0</v>
      </c>
    </row>
    <row r="58" ht="15.75" customHeight="1">
      <c r="A58" s="11">
        <f t="shared" si="2"/>
        <v>56</v>
      </c>
      <c r="B58" s="27" t="s">
        <v>108</v>
      </c>
      <c r="C58" s="24" t="s">
        <v>109</v>
      </c>
      <c r="D58" s="19">
        <v>2.0</v>
      </c>
      <c r="E58" s="19">
        <v>3.0</v>
      </c>
    </row>
    <row r="59" ht="15.75" customHeight="1">
      <c r="A59" s="31"/>
      <c r="C59" s="32" t="s">
        <v>110</v>
      </c>
      <c r="D59" s="33">
        <f t="shared" ref="D59:E59" si="3">SUM(D3:D58)</f>
        <v>90</v>
      </c>
      <c r="E59" s="33">
        <f t="shared" si="3"/>
        <v>129</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2"/>
    <mergeCell ref="B1:B2"/>
    <mergeCell ref="C1:C2"/>
    <mergeCell ref="D1:E1"/>
    <mergeCell ref="G2:H5"/>
  </mergeCells>
  <drawing r:id="rId1"/>
</worksheet>
</file>